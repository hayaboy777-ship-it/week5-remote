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week5\"/>
    </mc:Choice>
  </mc:AlternateContent>
  <xr:revisionPtr revIDLastSave="0" documentId="8_{BA8893E3-F01F-4EEE-BF98-EFF4F44E778C}" xr6:coauthVersionLast="47" xr6:coauthVersionMax="47" xr10:uidLastSave="{00000000-0000-0000-0000-000000000000}"/>
  <bookViews>
    <workbookView xWindow="38280" yWindow="-120" windowWidth="29040" windowHeight="15720" xr2:uid="{B9C7BB6E-9A87-4057-A8AF-16A94EEE4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R2" i="1"/>
  <c r="K25" i="1"/>
  <c r="K22" i="1"/>
</calcChain>
</file>

<file path=xl/sharedStrings.xml><?xml version="1.0" encoding="utf-8"?>
<sst xmlns="http://schemas.openxmlformats.org/spreadsheetml/2006/main" count="63" uniqueCount="61">
  <si>
    <t>A</t>
  </si>
  <si>
    <t>B</t>
  </si>
  <si>
    <t>C</t>
  </si>
  <si>
    <t>D</t>
  </si>
  <si>
    <t>E</t>
  </si>
  <si>
    <t>키</t>
  </si>
  <si>
    <t>몸무게</t>
  </si>
  <si>
    <t>이름</t>
    <phoneticPr fontId="4" type="noConversion"/>
  </si>
  <si>
    <t>가설</t>
    <phoneticPr fontId="4" type="noConversion"/>
  </si>
  <si>
    <t>키가 크면 몸무게가 많이 나감</t>
    <phoneticPr fontId="4" type="noConversion"/>
  </si>
  <si>
    <t>H0</t>
    <phoneticPr fontId="4" type="noConversion"/>
  </si>
  <si>
    <t>귀무가설</t>
    <phoneticPr fontId="4" type="noConversion"/>
  </si>
  <si>
    <t>대립가설</t>
    <phoneticPr fontId="4" type="noConversion"/>
  </si>
  <si>
    <t>H1</t>
    <phoneticPr fontId="4" type="noConversion"/>
  </si>
  <si>
    <t>(연구가설)</t>
    <phoneticPr fontId="4" type="noConversion"/>
  </si>
  <si>
    <t>예측식</t>
  </si>
  <si>
    <t>y=ax+b</t>
  </si>
  <si>
    <t>키(x), 실제값</t>
  </si>
  <si>
    <t>몸무게(y)</t>
  </si>
  <si>
    <t>예측값</t>
    <phoneticPr fontId="4" type="noConversion"/>
  </si>
  <si>
    <t>a*170+b</t>
  </si>
  <si>
    <t>a*155+b</t>
  </si>
  <si>
    <t>a*150+b</t>
  </si>
  <si>
    <t>a*175+b</t>
  </si>
  <si>
    <t>a*165+b</t>
  </si>
  <si>
    <t>오차</t>
  </si>
  <si>
    <t>a*170+b-65</t>
  </si>
  <si>
    <t>a*155+b-55</t>
  </si>
  <si>
    <t>a*150+b-45</t>
  </si>
  <si>
    <t>a*175+b-70</t>
  </si>
  <si>
    <t>a*165+b-55</t>
  </si>
  <si>
    <t>오차제곱</t>
  </si>
  <si>
    <t>(a*170+b-65)^2</t>
  </si>
  <si>
    <t>(a*155+b-55)^2</t>
  </si>
  <si>
    <t>(a*150+b-45)^2</t>
  </si>
  <si>
    <t>(a*175+b-70)^2</t>
  </si>
  <si>
    <t>(a*165+b-55)^2</t>
  </si>
  <si>
    <r>
      <rPr>
        <sz val="11"/>
        <color theme="1"/>
        <rFont val="맑은 고딕"/>
        <family val="2"/>
        <charset val="129"/>
      </rPr>
      <t>평균제곱오차</t>
    </r>
    <phoneticPr fontId="4" type="noConversion"/>
  </si>
  <si>
    <t>MeanSquaredError</t>
    <phoneticPr fontId="4" type="noConversion"/>
  </si>
  <si>
    <t>MSE</t>
    <phoneticPr fontId="4" type="noConversion"/>
  </si>
  <si>
    <t>평균제곱근오차</t>
    <phoneticPr fontId="4" type="noConversion"/>
  </si>
  <si>
    <t>RootMeanSquaredError</t>
    <phoneticPr fontId="4" type="noConversion"/>
  </si>
  <si>
    <t>RMSE</t>
    <phoneticPr fontId="4" type="noConversion"/>
  </si>
  <si>
    <t>평균 제곱근 오차가 예측이 잘 되었는지 추론할 경우 평가하는 대표적인 공식</t>
  </si>
  <si>
    <t>오차의 총합이 가장 적어지는 a와 b를 구하면 됨(최소제곱법)</t>
  </si>
  <si>
    <t>키 평균(X)</t>
  </si>
  <si>
    <t>몸무게 평균(Y)</t>
  </si>
  <si>
    <t>기울기</t>
  </si>
  <si>
    <t>(x-x평균)(y-y평균)의 합</t>
  </si>
  <si>
    <t>(x-x평균) 제곱의 합</t>
  </si>
  <si>
    <t>y 절편</t>
  </si>
  <si>
    <t>mean(y) - (mean(x)*a)</t>
  </si>
  <si>
    <t>y절편을 구하려면 기울기가 필요함, 그래서 기울기 먼저 구함</t>
  </si>
  <si>
    <t>a</t>
    <phoneticPr fontId="4" type="noConversion"/>
  </si>
  <si>
    <t>절편</t>
    <phoneticPr fontId="4" type="noConversion"/>
  </si>
  <si>
    <t>y=0.98 * x  + (-102.20)</t>
    <phoneticPr fontId="4" type="noConversion"/>
  </si>
  <si>
    <t>위 식을 a에 대해 정리</t>
  </si>
  <si>
    <t>a^2*(170*170)+a*(170*-170*65+170*b-65*170)+b^2-65*b-65*b+65*65</t>
  </si>
  <si>
    <t>이차식</t>
  </si>
  <si>
    <t>위 식을 b에 대해 정리</t>
  </si>
  <si>
    <t>b^2+b*(170*a + 170*a-65-65)+170*170*a^2-170*65*a-65*170*a+65*65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</si>
</sst>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sz val="11"/>
      <color theme="1"/>
      <name val="Malgun Gothic"/>
      <family val="2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2"/>
      <charset val="129"/>
    </font>
    <font>
      <b/>
      <sz val="11"/>
      <color rgb="FFFF0000"/>
      <name val="Calibri"/>
      <family val="2"/>
    </font>
    <font>
      <b/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키</a:t>
            </a:r>
            <a:r>
              <a:rPr lang="en-US" altLang="ko-KR"/>
              <a:t>-</a:t>
            </a:r>
            <a:r>
              <a:rPr lang="ko-KR" altLang="en-US"/>
              <a:t>몸무게 상관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몸무게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170</c:v>
                </c:pt>
                <c:pt idx="1">
                  <c:v>155</c:v>
                </c:pt>
                <c:pt idx="2">
                  <c:v>150</c:v>
                </c:pt>
                <c:pt idx="3">
                  <c:v>175</c:v>
                </c:pt>
                <c:pt idx="4">
                  <c:v>165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50</c:v>
                </c:pt>
                <c:pt idx="2">
                  <c:v>45</c:v>
                </c:pt>
                <c:pt idx="3">
                  <c:v>70</c:v>
                </c:pt>
                <c:pt idx="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F-4583-86FC-DB3CEC9F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635855"/>
        <c:axId val="659324847"/>
      </c:scatterChart>
      <c:valAx>
        <c:axId val="84063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9324847"/>
        <c:crosses val="autoZero"/>
        <c:crossBetween val="midCat"/>
      </c:valAx>
      <c:valAx>
        <c:axId val="65932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063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601266</xdr:colOff>
      <xdr:row>3</xdr:row>
      <xdr:rowOff>104775</xdr:rowOff>
    </xdr:from>
    <xdr:to>
      <xdr:col>11</xdr:col>
      <xdr:colOff>589360</xdr:colOff>
      <xdr:row>15</xdr:row>
      <xdr:rowOff>204787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F6353-D503-2D59-8980-12436DE3D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281609</xdr:colOff>
      <xdr:row>4</xdr:row>
      <xdr:rowOff>87934</xdr:rowOff>
    </xdr:from>
    <xdr:to>
      <xdr:col>12</xdr:col>
      <xdr:colOff>179043</xdr:colOff>
      <xdr:row>12</xdr:row>
      <xdr:rowOff>198782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C605E9C-6A89-9A7B-6537-72A1958A1DD6}"/>
            </a:ext>
          </a:extLst>
        </xdr:cNvPr>
        <xdr:cNvCxnSpPr/>
      </xdr:nvCxnSpPr>
      <xdr:spPr>
        <a:xfrm flipV="1">
          <a:off x="2898913" y="974173"/>
          <a:ext cx="5529608" cy="183363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515470</xdr:colOff>
      <xdr:row>24</xdr:row>
      <xdr:rowOff>11206</xdr:rowOff>
    </xdr:from>
    <xdr:to>
      <xdr:col>23</xdr:col>
      <xdr:colOff>110296</xdr:colOff>
      <xdr:row>39</xdr:row>
      <xdr:rowOff>194289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ADD905-AF99-6A94-8085-79E4E98C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1441" y="5401235"/>
          <a:ext cx="10072326" cy="354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B46C-CCAA-4474-8498-32CEACD6EA26}">
  <dimension ref="A1:V26"/>
  <sheetViews>
    <sheetView tabSelected="1" zoomScale="85" zoomScaleNormal="85" workbookViewId="0">
      <selection activeCell="X12" sqref="X12"/>
    </sheetView>
  </sheetViews>
  <sheetFormatPr defaultRowHeight="17"/>
  <cols>
    <col min="6" max="6" width="13.75" customWidth="1"/>
    <col min="15" max="15" width="15.83203125" customWidth="1"/>
    <col min="16" max="16" width="19.08203125" customWidth="1"/>
    <col min="17" max="17" width="15.08203125" customWidth="1"/>
    <col min="18" max="18" width="14.33203125" customWidth="1"/>
    <col min="19" max="19" width="15.1640625" customWidth="1"/>
    <col min="20" max="20" width="14.4140625" customWidth="1"/>
  </cols>
  <sheetData>
    <row r="1" spans="1:20" ht="19" thickBot="1">
      <c r="A1" s="5" t="s">
        <v>7</v>
      </c>
      <c r="B1" s="2" t="s">
        <v>5</v>
      </c>
      <c r="C1" s="2" t="s">
        <v>6</v>
      </c>
      <c r="E1" t="s">
        <v>8</v>
      </c>
      <c r="F1" t="s">
        <v>9</v>
      </c>
      <c r="J1" t="s">
        <v>11</v>
      </c>
      <c r="K1" t="s">
        <v>10</v>
      </c>
    </row>
    <row r="2" spans="1:20" ht="17.5" thickBot="1">
      <c r="A2" s="4" t="s">
        <v>0</v>
      </c>
      <c r="B2" s="3">
        <v>170</v>
      </c>
      <c r="C2" s="3">
        <v>65</v>
      </c>
      <c r="J2" t="s">
        <v>12</v>
      </c>
      <c r="K2" t="s">
        <v>13</v>
      </c>
      <c r="L2" t="s">
        <v>14</v>
      </c>
      <c r="Q2" t="s">
        <v>53</v>
      </c>
      <c r="R2" s="20">
        <f>K22</f>
        <v>0.97674418604651159</v>
      </c>
    </row>
    <row r="3" spans="1:20" ht="17.5" thickBot="1">
      <c r="A3" s="4" t="s">
        <v>1</v>
      </c>
      <c r="B3" s="3">
        <v>155</v>
      </c>
      <c r="C3" s="3">
        <v>50</v>
      </c>
      <c r="O3" s="6" t="s">
        <v>15</v>
      </c>
      <c r="P3" s="6" t="s">
        <v>16</v>
      </c>
      <c r="Q3" t="s">
        <v>54</v>
      </c>
      <c r="R3">
        <f>K25</f>
        <v>-102.20930232558138</v>
      </c>
    </row>
    <row r="4" spans="1:20" ht="17.5" thickBot="1">
      <c r="A4" s="4" t="s">
        <v>2</v>
      </c>
      <c r="B4" s="3">
        <v>150</v>
      </c>
      <c r="C4" s="3">
        <v>45</v>
      </c>
      <c r="P4" t="s">
        <v>55</v>
      </c>
    </row>
    <row r="5" spans="1:20" ht="17.5" thickBot="1">
      <c r="A5" s="4" t="s">
        <v>3</v>
      </c>
      <c r="B5" s="3">
        <v>175</v>
      </c>
      <c r="C5" s="3">
        <v>70</v>
      </c>
    </row>
    <row r="6" spans="1:20" ht="17.5" thickBot="1">
      <c r="A6" s="4" t="s">
        <v>4</v>
      </c>
      <c r="B6" s="3">
        <v>165</v>
      </c>
      <c r="C6" s="3">
        <v>55</v>
      </c>
      <c r="O6" s="8" t="s">
        <v>17</v>
      </c>
      <c r="P6" s="8">
        <v>170</v>
      </c>
      <c r="Q6" s="8">
        <v>155</v>
      </c>
      <c r="R6" s="8">
        <v>150</v>
      </c>
      <c r="S6" s="8">
        <v>175</v>
      </c>
      <c r="T6" s="8">
        <v>165</v>
      </c>
    </row>
    <row r="7" spans="1:20">
      <c r="N7" s="9"/>
      <c r="O7" s="11" t="s">
        <v>18</v>
      </c>
      <c r="P7" s="8">
        <v>65</v>
      </c>
      <c r="Q7" s="8">
        <v>50</v>
      </c>
      <c r="R7" s="8">
        <v>45</v>
      </c>
      <c r="S7" s="8">
        <v>70</v>
      </c>
      <c r="T7" s="8">
        <v>55</v>
      </c>
    </row>
    <row r="8" spans="1:20">
      <c r="O8" s="10" t="s">
        <v>19</v>
      </c>
      <c r="P8" s="8" t="s">
        <v>20</v>
      </c>
      <c r="Q8" s="8" t="s">
        <v>21</v>
      </c>
      <c r="R8" s="8" t="s">
        <v>22</v>
      </c>
      <c r="S8" s="8" t="s">
        <v>23</v>
      </c>
      <c r="T8" s="8" t="s">
        <v>24</v>
      </c>
    </row>
    <row r="9" spans="1:20">
      <c r="N9" s="9"/>
      <c r="O9" s="11" t="s">
        <v>25</v>
      </c>
      <c r="P9" s="8" t="s">
        <v>26</v>
      </c>
      <c r="Q9" s="8" t="s">
        <v>27</v>
      </c>
      <c r="R9" s="8" t="s">
        <v>28</v>
      </c>
      <c r="S9" s="8" t="s">
        <v>29</v>
      </c>
      <c r="T9" s="8" t="s">
        <v>30</v>
      </c>
    </row>
    <row r="10" spans="1:20">
      <c r="O10" s="8" t="s">
        <v>31</v>
      </c>
      <c r="P10" s="8" t="s">
        <v>32</v>
      </c>
      <c r="Q10" s="8" t="s">
        <v>33</v>
      </c>
      <c r="R10" s="8" t="s">
        <v>34</v>
      </c>
      <c r="S10" s="8" t="s">
        <v>35</v>
      </c>
      <c r="T10" s="12" t="s">
        <v>36</v>
      </c>
    </row>
    <row r="11" spans="1:20">
      <c r="O11" s="8" t="s">
        <v>37</v>
      </c>
      <c r="P11" s="8" t="s">
        <v>38</v>
      </c>
      <c r="Q11" s="13" t="s">
        <v>39</v>
      </c>
    </row>
    <row r="12" spans="1:20">
      <c r="O12" s="14" t="s">
        <v>40</v>
      </c>
      <c r="P12" s="8" t="s">
        <v>41</v>
      </c>
      <c r="Q12" s="13" t="s">
        <v>42</v>
      </c>
    </row>
    <row r="13" spans="1:20">
      <c r="O13" s="15" t="s">
        <v>43</v>
      </c>
    </row>
    <row r="15" spans="1:20">
      <c r="O15" s="15" t="s">
        <v>44</v>
      </c>
    </row>
    <row r="19" spans="6:22">
      <c r="F19" s="8" t="s">
        <v>45</v>
      </c>
      <c r="G19" s="8"/>
      <c r="H19" s="8"/>
      <c r="I19" s="8">
        <v>163</v>
      </c>
    </row>
    <row r="20" spans="6:22">
      <c r="F20" s="8" t="s">
        <v>46</v>
      </c>
      <c r="G20" s="8"/>
      <c r="H20" s="8"/>
      <c r="I20" s="8">
        <v>57</v>
      </c>
    </row>
    <row r="21" spans="6:22">
      <c r="O21" s="1" t="s">
        <v>32</v>
      </c>
      <c r="P21" s="6"/>
      <c r="Q21" s="6"/>
      <c r="R21" s="6"/>
      <c r="S21" s="6"/>
      <c r="T21" s="6"/>
      <c r="U21" s="6"/>
      <c r="V21" s="6"/>
    </row>
    <row r="22" spans="6:22" ht="17.5" customHeight="1" thickBot="1">
      <c r="F22" s="16" t="s">
        <v>47</v>
      </c>
      <c r="G22" s="17" t="s">
        <v>48</v>
      </c>
      <c r="H22" s="17"/>
      <c r="I22" s="17"/>
      <c r="J22" s="7">
        <v>420</v>
      </c>
      <c r="K22" s="19">
        <f>J22/J23</f>
        <v>0.97674418604651159</v>
      </c>
      <c r="O22" s="1" t="s">
        <v>56</v>
      </c>
      <c r="P22" s="6"/>
      <c r="Q22" s="1" t="s">
        <v>57</v>
      </c>
      <c r="R22" s="6"/>
      <c r="S22" s="6"/>
      <c r="T22" s="6"/>
      <c r="U22" s="6"/>
      <c r="V22" s="6" t="s">
        <v>58</v>
      </c>
    </row>
    <row r="23" spans="6:22" ht="17" customHeight="1">
      <c r="F23" s="16"/>
      <c r="G23" s="18" t="s">
        <v>49</v>
      </c>
      <c r="H23" s="18"/>
      <c r="I23" s="18"/>
      <c r="J23" s="7">
        <v>430</v>
      </c>
      <c r="K23" s="19"/>
      <c r="O23" s="1" t="s">
        <v>59</v>
      </c>
      <c r="P23" s="6"/>
      <c r="Q23" s="1" t="s">
        <v>60</v>
      </c>
      <c r="R23" s="6"/>
      <c r="S23" s="6"/>
      <c r="T23" s="6"/>
      <c r="U23" s="6"/>
      <c r="V23" s="6" t="s">
        <v>58</v>
      </c>
    </row>
    <row r="25" spans="6:22">
      <c r="F25" s="6" t="s">
        <v>50</v>
      </c>
      <c r="G25" s="1" t="s">
        <v>51</v>
      </c>
      <c r="H25" s="6"/>
      <c r="I25" s="6"/>
      <c r="J25" s="6"/>
      <c r="K25">
        <f>I20-(I19*K22)</f>
        <v>-102.20930232558138</v>
      </c>
    </row>
    <row r="26" spans="6:22">
      <c r="F26" s="1" t="s">
        <v>52</v>
      </c>
      <c r="G26" s="6"/>
      <c r="H26" s="6"/>
      <c r="I26" s="6"/>
      <c r="J26" s="6"/>
    </row>
  </sheetData>
  <mergeCells count="4">
    <mergeCell ref="F22:F23"/>
    <mergeCell ref="G22:I22"/>
    <mergeCell ref="G23:I23"/>
    <mergeCell ref="K22:K23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김동식[ 교육대학원석사과정일반수료 / 컴퓨터교육전공 ]</dc:creator>
  <cp:lastModifiedBy>김동식[ 교육대학원석사과정일반수료 / 컴퓨터교육전공 ]</cp:lastModifiedBy>
  <dcterms:created xsi:type="dcterms:W3CDTF">2026-10-16T06:27:54Z</dcterms:created>
  <dcterms:modified xsi:type="dcterms:W3CDTF">2026-10-16T07:40:00Z</dcterms:modified>
</cp:coreProperties>
</file>